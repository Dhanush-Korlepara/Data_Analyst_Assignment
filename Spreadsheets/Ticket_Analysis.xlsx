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icket"/>
    <sheet r:id="rId2" sheetId="2" name="feedbacks"/>
    <sheet r:id="rId3" sheetId="3" name="same day"/>
    <sheet r:id="rId4" sheetId="4" name="same hour"/>
  </sheets>
  <calcPr fullCalcOnLoad="1"/>
</workbook>
</file>

<file path=xl/sharedStrings.xml><?xml version="1.0" encoding="utf-8"?>
<sst xmlns="http://schemas.openxmlformats.org/spreadsheetml/2006/main" count="52" uniqueCount="36">
  <si>
    <t>same_hour</t>
  </si>
  <si>
    <t>Yes</t>
  </si>
  <si>
    <t>Row Labels</t>
  </si>
  <si>
    <t>Count of ticket_id</t>
  </si>
  <si>
    <t>out2</t>
  </si>
  <si>
    <t>Grand Total</t>
  </si>
  <si>
    <t>same_day</t>
  </si>
  <si>
    <t>out1</t>
  </si>
  <si>
    <t>cms_id</t>
  </si>
  <si>
    <t>feedback_at</t>
  </si>
  <si>
    <t>feedback_rating</t>
  </si>
  <si>
    <t>ticket_created_at</t>
  </si>
  <si>
    <t>cms1</t>
  </si>
  <si>
    <t>2021-08-19 19:00:00</t>
  </si>
  <si>
    <t>cms2</t>
  </si>
  <si>
    <t>2021-08-21 12:00:00</t>
  </si>
  <si>
    <t>cms3</t>
  </si>
  <si>
    <t>2021-08-22 13:00:00</t>
  </si>
  <si>
    <t>cms4</t>
  </si>
  <si>
    <t>2021-08-22 10:00:00</t>
  </si>
  <si>
    <t>ticket_id</t>
  </si>
  <si>
    <t>created_at</t>
  </si>
  <si>
    <t>closed_at</t>
  </si>
  <si>
    <t>outlet_id</t>
  </si>
  <si>
    <t>t1</t>
  </si>
  <si>
    <t>2021-08-19 16:45:43</t>
  </si>
  <si>
    <t>2021-08-19 18:45:43</t>
  </si>
  <si>
    <t>t2</t>
  </si>
  <si>
    <t>2021-08-21 11:09:22</t>
  </si>
  <si>
    <t>2021-08-21 17:13:45</t>
  </si>
  <si>
    <t>t3</t>
  </si>
  <si>
    <t>2021-08-21 10:00:00</t>
  </si>
  <si>
    <t>2021-08-22 12:00:00</t>
  </si>
  <si>
    <t>t4</t>
  </si>
  <si>
    <t>2021-08-22 09:00:00</t>
  </si>
  <si>
    <t>2021-08-22 09:30:00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</si>
</sst>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"/>
  <sheetViews>
    <sheetView workbookViewId="0"/>
  </sheetViews>
  <sheetFormatPr defaultRowHeight="15" x14ac:dyDescent="0.25"/>
  <cols>
    <col min="1" max="1" style="9" width="13.576428571428572" customWidth="1" bestFit="1"/>
    <col min="2" max="2" style="9" width="30.14785714285714" customWidth="1" bestFit="1"/>
    <col min="3" max="3" style="9" width="23.14785714285714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14" width="13.576428571428572" customWidth="1" bestFit="1"/>
    <col min="10" max="10" style="14" width="16.005" customWidth="1" bestFit="1"/>
    <col min="11" max="11" style="14" width="20.719285714285714" customWidth="1" bestFit="1"/>
  </cols>
  <sheetData>
    <row x14ac:dyDescent="0.25" r="1" customHeight="1" ht="18.75">
      <c r="A1" s="7" t="s">
        <v>20</v>
      </c>
      <c r="B1" s="7" t="s">
        <v>21</v>
      </c>
      <c r="C1" s="7" t="s">
        <v>22</v>
      </c>
      <c r="D1" s="7" t="s">
        <v>23</v>
      </c>
      <c r="E1" s="7" t="s">
        <v>8</v>
      </c>
      <c r="F1" s="7" t="s">
        <v>6</v>
      </c>
      <c r="G1" s="7" t="s">
        <v>0</v>
      </c>
      <c r="H1" s="7"/>
      <c r="I1" s="10"/>
      <c r="J1" s="10"/>
      <c r="K1" s="10"/>
    </row>
    <row x14ac:dyDescent="0.25" r="2" customHeight="1" ht="18.75" customFormat="1" s="11">
      <c r="A2" s="10" t="s">
        <v>24</v>
      </c>
      <c r="B2" s="10" t="s">
        <v>25</v>
      </c>
      <c r="C2" s="10" t="s">
        <v>26</v>
      </c>
      <c r="D2" s="10" t="s">
        <v>7</v>
      </c>
      <c r="E2" s="10" t="s">
        <v>12</v>
      </c>
      <c r="F2" s="12">
        <f>IF(INT(B2)=INT(C2),"Yes","No")</f>
      </c>
      <c r="G2" s="12">
        <f>IF(AND(INT(B2)=INT(C2),HOUR(B2)=HOUR(C2)),"Yes","No")</f>
      </c>
      <c r="H2" s="10"/>
      <c r="I2" s="13"/>
      <c r="J2" s="13"/>
      <c r="K2" s="13"/>
    </row>
    <row x14ac:dyDescent="0.25" r="3" customHeight="1" ht="18.75" customFormat="1" s="11">
      <c r="A3" s="10" t="s">
        <v>27</v>
      </c>
      <c r="B3" s="10" t="s">
        <v>28</v>
      </c>
      <c r="C3" s="10" t="s">
        <v>29</v>
      </c>
      <c r="D3" s="10" t="s">
        <v>4</v>
      </c>
      <c r="E3" s="10" t="s">
        <v>14</v>
      </c>
      <c r="F3" s="12">
        <f>IF(INT(B3)=INT(C3),"Yes","No")</f>
      </c>
      <c r="G3" s="12">
        <f>IF(AND(INT(B3)=INT(C3),HOUR(B3)=HOUR(C3)),"Yes","No")</f>
      </c>
      <c r="H3" s="10"/>
      <c r="I3" s="13"/>
      <c r="J3" s="13"/>
      <c r="K3" s="13"/>
    </row>
    <row x14ac:dyDescent="0.25" r="4" customHeight="1" ht="18.75">
      <c r="A4" s="7" t="s">
        <v>30</v>
      </c>
      <c r="B4" s="7" t="s">
        <v>31</v>
      </c>
      <c r="C4" s="7" t="s">
        <v>32</v>
      </c>
      <c r="D4" s="7" t="s">
        <v>7</v>
      </c>
      <c r="E4" s="7" t="s">
        <v>16</v>
      </c>
      <c r="F4" s="8">
        <f>IF(INT(B4)=INT(C4),"Yes","No")</f>
      </c>
      <c r="G4" s="8">
        <f>IF(AND(INT(B4)=INT(C4),HOUR(B4)=HOUR(C4)),"Yes","No")</f>
      </c>
      <c r="H4" s="7"/>
      <c r="I4" s="10"/>
      <c r="J4" s="10"/>
      <c r="K4" s="10"/>
    </row>
    <row x14ac:dyDescent="0.25" r="5" customHeight="1" ht="18.75">
      <c r="A5" s="7" t="s">
        <v>33</v>
      </c>
      <c r="B5" s="7" t="s">
        <v>34</v>
      </c>
      <c r="C5" s="7" t="s">
        <v>35</v>
      </c>
      <c r="D5" s="7" t="s">
        <v>4</v>
      </c>
      <c r="E5" s="7" t="s">
        <v>18</v>
      </c>
      <c r="F5" s="8">
        <f>IF(INT(B5)=INT(C5),"Yes","No")</f>
      </c>
      <c r="G5" s="8">
        <f>IF(AND(INT(B5)=INT(C5),HOUR(B5)=HOUR(C5)),"Yes","No")</f>
      </c>
      <c r="H5" s="7"/>
      <c r="I5" s="10"/>
      <c r="J5" s="10"/>
      <c r="K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2.290714285714287" customWidth="1" bestFit="1"/>
    <col min="3" max="3" style="6" width="15.719285714285713" customWidth="1" bestFit="1"/>
    <col min="4" max="4" style="9" width="24.576428571428572" customWidth="1" bestFit="1"/>
  </cols>
  <sheetData>
    <row x14ac:dyDescent="0.25" r="1" customHeight="1" ht="18.75">
      <c r="A1" s="7" t="s">
        <v>8</v>
      </c>
      <c r="B1" s="7" t="s">
        <v>9</v>
      </c>
      <c r="C1" s="2" t="s">
        <v>10</v>
      </c>
      <c r="D1" s="7" t="s">
        <v>11</v>
      </c>
    </row>
    <row x14ac:dyDescent="0.25" r="2" customHeight="1" ht="18.75">
      <c r="A2" s="7" t="s">
        <v>12</v>
      </c>
      <c r="B2" s="7" t="s">
        <v>13</v>
      </c>
      <c r="C2" s="4">
        <v>4</v>
      </c>
      <c r="D2" s="8">
        <f>XLOOKUP(A2, ticket!E:E, ticket!B:B)</f>
      </c>
    </row>
    <row x14ac:dyDescent="0.25" r="3" customHeight="1" ht="18.75">
      <c r="A3" s="7" t="s">
        <v>14</v>
      </c>
      <c r="B3" s="7" t="s">
        <v>15</v>
      </c>
      <c r="C3" s="4">
        <v>3</v>
      </c>
      <c r="D3" s="8">
        <f>_xlfn.XLOOKUP(A3, ticket!E:E, ticket!B:B)</f>
      </c>
    </row>
    <row x14ac:dyDescent="0.25" r="4" customHeight="1" ht="18.75">
      <c r="A4" s="7" t="s">
        <v>16</v>
      </c>
      <c r="B4" s="7" t="s">
        <v>17</v>
      </c>
      <c r="C4" s="4">
        <v>5</v>
      </c>
      <c r="D4" s="8">
        <f>_xlfn.XLOOKUP(A4, ticket!E:E, ticket!B:B)</f>
      </c>
    </row>
    <row x14ac:dyDescent="0.25" r="5" customHeight="1" ht="18.75">
      <c r="A5" s="7" t="s">
        <v>18</v>
      </c>
      <c r="B5" s="7" t="s">
        <v>19</v>
      </c>
      <c r="C5" s="4">
        <v>4</v>
      </c>
      <c r="D5" s="8">
        <f>_xlfn.XLOOKUP(A5, ticket!E:E, ticket!B:B)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2.576428571428572" customWidth="1" bestFit="1"/>
    <col min="2" max="2" style="6" width="16.14785714285714" customWidth="1" bestFit="1"/>
  </cols>
  <sheetData>
    <row x14ac:dyDescent="0.25" r="1" customHeight="1" ht="18.75">
      <c r="A1" s="1" t="s">
        <v>6</v>
      </c>
      <c r="B1" s="2" t="s">
        <v>1</v>
      </c>
    </row>
    <row x14ac:dyDescent="0.25" r="2" customHeight="1" ht="18.75">
      <c r="A2" s="1"/>
      <c r="B2" s="2"/>
    </row>
    <row x14ac:dyDescent="0.25" r="3" customHeight="1" ht="18.75">
      <c r="A3" s="1" t="s">
        <v>2</v>
      </c>
      <c r="B3" s="2" t="s">
        <v>3</v>
      </c>
    </row>
    <row x14ac:dyDescent="0.25" r="4" customHeight="1" ht="18.75">
      <c r="A4" s="3" t="s">
        <v>7</v>
      </c>
      <c r="B4" s="4">
        <v>1</v>
      </c>
    </row>
    <row x14ac:dyDescent="0.25" r="5" customHeight="1" ht="18.75">
      <c r="A5" s="3" t="s">
        <v>4</v>
      </c>
      <c r="B5" s="4">
        <v>2</v>
      </c>
    </row>
    <row x14ac:dyDescent="0.25" r="6" customHeight="1" ht="18.75">
      <c r="A6" s="3" t="s">
        <v>5</v>
      </c>
      <c r="B6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5" width="12.576428571428572" customWidth="1" bestFit="1"/>
    <col min="2" max="2" style="6" width="16.14785714285714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/>
      <c r="B2" s="2"/>
    </row>
    <row x14ac:dyDescent="0.25" r="3" customHeight="1" ht="18.75">
      <c r="A3" s="1" t="s">
        <v>2</v>
      </c>
      <c r="B3" s="2" t="s">
        <v>3</v>
      </c>
    </row>
    <row x14ac:dyDescent="0.25" r="4" customHeight="1" ht="18.75">
      <c r="A4" s="3" t="s">
        <v>4</v>
      </c>
      <c r="B4" s="4">
        <v>1</v>
      </c>
    </row>
    <row x14ac:dyDescent="0.25" r="5" customHeight="1" ht="18.75">
      <c r="A5" s="3" t="s">
        <v>5</v>
      </c>
      <c r="B5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ticket</vt:lpstr>
      <vt:lpstr>feedbacks</vt:lpstr>
      <vt:lpstr>same day</vt:lpstr>
      <vt:lpstr>same hour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2026-04-09T08:42:17.952Z</dcterms:created>
  <dcterms:modified xsi:type="dcterms:W3CDTF">2026-04-09T08:42:17.953Z</dcterms:modified>
</cp:coreProperties>
</file>